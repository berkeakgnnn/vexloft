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hidden" r:id="rId2"/>
    <sheet xmlns:r="http://schemas.openxmlformats.org/officeDocument/2006/relationships" name="Department KP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i val="1"/>
      <color rgb="00334155"/>
      <sz val="10"/>
    </font>
    <font>
      <name val="Calibri"/>
      <b val="1"/>
      <color rgb="000A0F1E"/>
      <sz val="18"/>
    </font>
    <font>
      <name val="Calibri"/>
      <color rgb="00334155"/>
      <sz val="9"/>
    </font>
    <font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4338CA"/>
      </patternFill>
    </fill>
    <fill>
      <patternFill patternType="solid">
        <fgColor rgb="00FFFFFF"/>
      </patternFill>
    </fill>
    <fill>
      <patternFill patternType="solid">
        <fgColor rgb="007C3AED"/>
      </patternFill>
    </fill>
    <fill>
      <patternFill patternType="solid">
        <fgColor rgb="0006B6D4"/>
      </patternFill>
    </fill>
    <fill>
      <patternFill patternType="solid">
        <fgColor rgb="0010B981"/>
      </patternFill>
    </fill>
    <fill>
      <patternFill patternType="solid">
        <fgColor rgb="00F59E0B"/>
      </patternFill>
    </fill>
    <fill>
      <patternFill patternType="solid">
        <fgColor rgb="003B82F6"/>
      </patternFill>
    </fill>
    <fill>
      <patternFill patternType="solid">
        <fgColor rgb="00334155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3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0" fontId="4" fillId="3" borderId="1" applyAlignment="1" pivotButton="0" quotePrefix="0" xfId="0">
      <alignment horizontal="left" vertical="center" indent="1"/>
    </xf>
    <xf numFmtId="0" fontId="5" fillId="9" borderId="1" applyAlignment="1" pivotButton="0" quotePrefix="0" xfId="0">
      <alignment horizontal="center" vertical="center" wrapText="1"/>
    </xf>
    <xf numFmtId="0" fontId="0" fillId="10" borderId="1" pivotButton="0" quotePrefix="0" xfId="0"/>
    <xf numFmtId="3" fontId="0" fillId="10" borderId="1" pivotButton="0" quotePrefix="0" xfId="0"/>
    <xf numFmtId="0" fontId="0" fillId="0" borderId="1" pivotButton="0" quotePrefix="0" xfId="0"/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vs EBITDA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'Model'!B1</f>
            </strRef>
          </tx>
          <spPr>
            <a:solidFill xmlns:a="http://schemas.openxmlformats.org/drawingml/2006/main">
              <a:srgbClr val="4338CA"/>
            </a:solidFill>
            <a:ln xmlns:a="http://schemas.openxmlformats.org/drawingml/2006/main">
              <a:prstDash val="solid"/>
            </a:ln>
          </spPr>
          <cat>
            <numRef>
              <f>'Model'!$A$2:$A$13</f>
            </numRef>
          </cat>
          <val>
            <numRef>
              <f>'Model'!$B$2:$B$13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'Model'!C1</f>
            </strRef>
          </tx>
          <spPr>
            <a:ln xmlns:a="http://schemas.openxmlformats.org/drawingml/2006/main" w="28000">
              <a:solidFill>
                <a:srgbClr val="06B6D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'Model'!$C$2:$C$13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Department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'Model'!F1</f>
            </strRef>
          </tx>
          <spPr>
            <a:solidFill xmlns:a="http://schemas.openxmlformats.org/drawingml/2006/main">
              <a:srgbClr val="7C3AED"/>
            </a:solidFill>
            <a:ln xmlns:a="http://schemas.openxmlformats.org/drawingml/2006/main">
              <a:prstDash val="solid"/>
            </a:ln>
          </spPr>
          <cat>
            <numRef>
              <f>'Model'!$E$2:$E$5</f>
            </numRef>
          </cat>
          <val>
            <numRef>
              <f>'Model'!$F$2:$F$5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Region</a:t>
            </a:r>
          </a:p>
        </rich>
      </tx>
    </title>
    <plotArea>
      <pieChart>
        <varyColors val="1"/>
        <ser>
          <idx val="0"/>
          <order val="0"/>
          <tx>
            <strRef>
              <f>'Model'!I1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338C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C3AE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6B6D4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cat>
            <numRef>
              <f>'Model'!$H$2:$H$5</f>
            </numRef>
          </cat>
          <val>
            <numRef>
              <f>'Model'!$I$2:$I$5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25</row>
      <rowOff>0</rowOff>
    </from>
    <ext cx="288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25</row>
      <rowOff>0</rowOff>
    </from>
    <ext cx="288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epartmentKPIs" displayName="DepartmentKPIs" ref="A1:D5" headerRowCount="1">
  <autoFilter ref="A1:D5"/>
  <tableColumns count="4">
    <tableColumn id="1" name="Department"/>
    <tableColumn id="2" name="Revenue (€)"/>
    <tableColumn id="3" name="YoY Growth %"/>
    <tableColumn id="4" name="Margin %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0" customHeight="1">
      <c r="A1" s="1" t="inlineStr">
        <is>
          <t xml:space="preserve">  VANTAGE GROUP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3" t="inlineStr">
        <is>
          <t xml:space="preserve">  Executive KPI Dashboard   ·   Sample dashboard by Atakan Harman — Vexloft Data</t>
        </is>
      </c>
    </row>
    <row r="6" ht="5" customHeight="1">
      <c r="A6" s="4" t="n"/>
      <c r="B6" s="4" t="n"/>
      <c r="C6" s="4" t="n"/>
      <c r="D6" s="5" t="n"/>
      <c r="E6" s="5" t="n"/>
      <c r="F6" s="5" t="n"/>
      <c r="G6" s="6" t="n"/>
      <c r="H6" s="6" t="n"/>
      <c r="I6" s="6" t="n"/>
      <c r="J6" s="7" t="n"/>
      <c r="K6" s="7" t="n"/>
      <c r="L6" s="7" t="n"/>
      <c r="M6" s="8" t="n"/>
      <c r="N6" s="8" t="n"/>
      <c r="O6" s="8" t="n"/>
      <c r="P6" s="9" t="n"/>
      <c r="Q6" s="9" t="n"/>
      <c r="R6" s="9" t="n"/>
    </row>
    <row r="7" ht="26" customHeight="1">
      <c r="A7" s="10" t="inlineStr">
        <is>
          <t>€12.84M</t>
        </is>
      </c>
      <c r="B7" s="11" t="n"/>
      <c r="C7" s="11" t="n"/>
      <c r="D7" s="10" t="inlineStr">
        <is>
          <t>€2.47M</t>
        </is>
      </c>
      <c r="E7" s="11" t="n"/>
      <c r="F7" s="11" t="n"/>
      <c r="G7" s="10" t="inlineStr">
        <is>
          <t>34.8%</t>
        </is>
      </c>
      <c r="H7" s="11" t="n"/>
      <c r="I7" s="11" t="n"/>
      <c r="J7" s="10" t="inlineStr">
        <is>
          <t>94.1%</t>
        </is>
      </c>
      <c r="K7" s="11" t="n"/>
      <c r="L7" s="11" t="n"/>
      <c r="M7" s="10" t="inlineStr">
        <is>
          <t>1,284</t>
        </is>
      </c>
      <c r="N7" s="11" t="n"/>
      <c r="O7" s="11" t="n"/>
      <c r="P7" s="10" t="inlineStr">
        <is>
          <t>+41</t>
        </is>
      </c>
      <c r="Q7" s="11" t="n"/>
      <c r="R7" s="11" t="n"/>
    </row>
    <row r="8" ht="16" customHeight="1">
      <c r="A8" s="12" t="inlineStr">
        <is>
          <t>Annual Revenue</t>
        </is>
      </c>
      <c r="B8" s="11" t="n"/>
      <c r="C8" s="11" t="n"/>
      <c r="D8" s="12" t="inlineStr">
        <is>
          <t>EBITDA</t>
        </is>
      </c>
      <c r="E8" s="11" t="n"/>
      <c r="F8" s="11" t="n"/>
      <c r="G8" s="12" t="inlineStr">
        <is>
          <t>Win Rate</t>
        </is>
      </c>
      <c r="H8" s="11" t="n"/>
      <c r="I8" s="11" t="n"/>
      <c r="J8" s="12" t="inlineStr">
        <is>
          <t>On-Time Delivery</t>
        </is>
      </c>
      <c r="K8" s="11" t="n"/>
      <c r="L8" s="11" t="n"/>
      <c r="M8" s="12" t="inlineStr">
        <is>
          <t>Headcount</t>
        </is>
      </c>
      <c r="N8" s="11" t="n"/>
      <c r="O8" s="11" t="n"/>
      <c r="P8" s="12" t="inlineStr">
        <is>
          <t>Employee eNPS</t>
        </is>
      </c>
      <c r="Q8" s="11" t="n"/>
      <c r="R8" s="11" t="n"/>
    </row>
  </sheetData>
  <mergeCells count="20">
    <mergeCell ref="J6:L6"/>
    <mergeCell ref="P8:R8"/>
    <mergeCell ref="G6:I6"/>
    <mergeCell ref="A4:P4"/>
    <mergeCell ref="M7:O7"/>
    <mergeCell ref="D7:F7"/>
    <mergeCell ref="M6:O6"/>
    <mergeCell ref="J7:L7"/>
    <mergeCell ref="P7:R7"/>
    <mergeCell ref="A8:C8"/>
    <mergeCell ref="M8:O8"/>
    <mergeCell ref="D8:F8"/>
    <mergeCell ref="A1:P3"/>
    <mergeCell ref="J8:L8"/>
    <mergeCell ref="A6:C6"/>
    <mergeCell ref="D6:F6"/>
    <mergeCell ref="G8:I8"/>
    <mergeCell ref="A7:C7"/>
    <mergeCell ref="G7:I7"/>
    <mergeCell ref="P6:R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Revenue</t>
        </is>
      </c>
      <c r="C1" t="inlineStr">
        <is>
          <t>EBITDA</t>
        </is>
      </c>
      <c r="E1" t="inlineStr">
        <is>
          <t>Dept</t>
        </is>
      </c>
      <c r="F1" t="inlineStr">
        <is>
          <t>Revenue</t>
        </is>
      </c>
      <c r="H1" t="inlineStr">
        <is>
          <t>Region</t>
        </is>
      </c>
      <c r="I1" t="inlineStr">
        <is>
          <t>Revenue</t>
        </is>
      </c>
    </row>
    <row r="2">
      <c r="A2" t="inlineStr">
        <is>
          <t>Jan</t>
        </is>
      </c>
      <c r="B2" t="n">
        <v>880648</v>
      </c>
      <c r="C2" t="n">
        <v>159173</v>
      </c>
      <c r="E2" t="inlineStr">
        <is>
          <t>Retail</t>
        </is>
      </c>
      <c r="F2" t="n">
        <v>3329360</v>
      </c>
      <c r="H2" t="inlineStr">
        <is>
          <t>Europe</t>
        </is>
      </c>
      <c r="I2" t="n">
        <v>5394876</v>
      </c>
    </row>
    <row r="3">
      <c r="A3" t="inlineStr">
        <is>
          <t>Feb</t>
        </is>
      </c>
      <c r="B3" t="n">
        <v>918780</v>
      </c>
      <c r="C3" t="n">
        <v>188476</v>
      </c>
      <c r="E3" t="inlineStr">
        <is>
          <t>Wholesale</t>
        </is>
      </c>
      <c r="F3" t="n">
        <v>2168640</v>
      </c>
      <c r="H3" t="inlineStr">
        <is>
          <t>N. America</t>
        </is>
      </c>
      <c r="I3" t="n">
        <v>3596584</v>
      </c>
    </row>
    <row r="4">
      <c r="A4" t="inlineStr">
        <is>
          <t>Mar</t>
        </is>
      </c>
      <c r="B4" t="n">
        <v>967770</v>
      </c>
      <c r="C4" t="n">
        <v>208058</v>
      </c>
      <c r="E4" t="inlineStr">
        <is>
          <t>Digital</t>
        </is>
      </c>
      <c r="F4" t="n">
        <v>3473873</v>
      </c>
      <c r="H4" t="inlineStr">
        <is>
          <t>APAC</t>
        </is>
      </c>
      <c r="I4" t="n">
        <v>2568988</v>
      </c>
    </row>
    <row r="5">
      <c r="A5" t="inlineStr">
        <is>
          <t>Apr</t>
        </is>
      </c>
      <c r="B5" t="n">
        <v>1003900</v>
      </c>
      <c r="C5" t="n">
        <v>181729</v>
      </c>
      <c r="E5" t="inlineStr">
        <is>
          <t>Services</t>
        </is>
      </c>
      <c r="F5" t="n">
        <v>2210208</v>
      </c>
      <c r="H5" t="inlineStr">
        <is>
          <t>MEA</t>
        </is>
      </c>
      <c r="I5" t="n">
        <v>1284494</v>
      </c>
    </row>
    <row r="6">
      <c r="A6" t="inlineStr">
        <is>
          <t>May</t>
        </is>
      </c>
      <c r="B6" t="n">
        <v>1077217</v>
      </c>
      <c r="C6" t="n">
        <v>192258</v>
      </c>
    </row>
    <row r="7">
      <c r="A7" t="inlineStr">
        <is>
          <t>Jun</t>
        </is>
      </c>
      <c r="B7" t="n">
        <v>1091436</v>
      </c>
      <c r="C7" t="n">
        <v>218686</v>
      </c>
    </row>
    <row r="8">
      <c r="A8" t="inlineStr">
        <is>
          <t>Jul</t>
        </is>
      </c>
      <c r="B8" t="n">
        <v>1043450</v>
      </c>
      <c r="C8" t="n">
        <v>185678</v>
      </c>
    </row>
    <row r="9">
      <c r="A9" t="inlineStr">
        <is>
          <t>Aug</t>
        </is>
      </c>
      <c r="B9" t="n">
        <v>1014557</v>
      </c>
      <c r="C9" t="n">
        <v>197335</v>
      </c>
    </row>
    <row r="10">
      <c r="A10" t="inlineStr">
        <is>
          <t>Sep</t>
        </is>
      </c>
      <c r="B10" t="n">
        <v>1138543</v>
      </c>
      <c r="C10" t="n">
        <v>211796</v>
      </c>
    </row>
    <row r="11">
      <c r="A11" t="inlineStr">
        <is>
          <t>Oct</t>
        </is>
      </c>
      <c r="B11" t="n">
        <v>1166626</v>
      </c>
      <c r="C11" t="n">
        <v>201537</v>
      </c>
    </row>
    <row r="12">
      <c r="A12" t="inlineStr">
        <is>
          <t>Nov</t>
        </is>
      </c>
      <c r="B12" t="n">
        <v>1237512</v>
      </c>
      <c r="C12" t="n">
        <v>235597</v>
      </c>
    </row>
    <row r="13">
      <c r="A13" t="inlineStr">
        <is>
          <t>Dec</t>
        </is>
      </c>
      <c r="B13" t="n">
        <v>1304503</v>
      </c>
      <c r="C13" t="n">
        <v>285654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>
      <c r="A1" s="13" t="inlineStr">
        <is>
          <t>Department</t>
        </is>
      </c>
      <c r="B1" s="13" t="inlineStr">
        <is>
          <t>Revenue (€)</t>
        </is>
      </c>
      <c r="C1" s="13" t="inlineStr">
        <is>
          <t>YoY Growth %</t>
        </is>
      </c>
      <c r="D1" s="13" t="inlineStr">
        <is>
          <t>Margin %</t>
        </is>
      </c>
    </row>
    <row r="2">
      <c r="A2" s="14" t="inlineStr">
        <is>
          <t>Retail</t>
        </is>
      </c>
      <c r="B2" s="15" t="n">
        <v>3329360</v>
      </c>
      <c r="C2" s="14" t="n">
        <v>1.4</v>
      </c>
      <c r="D2" s="14" t="n">
        <v>12.8</v>
      </c>
    </row>
    <row r="3">
      <c r="A3" s="16" t="inlineStr">
        <is>
          <t>Wholesale</t>
        </is>
      </c>
      <c r="B3" s="17" t="n">
        <v>2168640</v>
      </c>
      <c r="C3" s="16" t="n">
        <v>21.7</v>
      </c>
      <c r="D3" s="16" t="n">
        <v>24.2</v>
      </c>
    </row>
    <row r="4">
      <c r="A4" s="14" t="inlineStr">
        <is>
          <t>Digital</t>
        </is>
      </c>
      <c r="B4" s="15" t="n">
        <v>3473873</v>
      </c>
      <c r="C4" s="14" t="n">
        <v>10.2</v>
      </c>
      <c r="D4" s="14" t="n">
        <v>25.6</v>
      </c>
    </row>
    <row r="5">
      <c r="A5" s="16" t="inlineStr">
        <is>
          <t>Services</t>
        </is>
      </c>
      <c r="B5" s="17" t="n">
        <v>2210208</v>
      </c>
      <c r="C5" s="16" t="n">
        <v>16.3</v>
      </c>
      <c r="D5" s="16" t="n">
        <v>25.3</v>
      </c>
    </row>
  </sheetData>
  <conditionalFormatting sqref="C2:C5">
    <cfRule type="colorScale" priority="1">
      <colorScale>
        <cfvo type="min"/>
        <cfvo type="num" val="0"/>
        <cfvo type="max"/>
        <color rgb="00EF4444"/>
        <color rgb="00FFFFFF"/>
        <color rgb="0010B981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2026-07-31T17:57:46Z</dcterms:created>
  <dcterms:modified xmlns:dcterms="http://purl.org/dc/terms/" xmlns:xsi="http://www.w3.org/2001/XMLSchema-instance" xsi:type="dcterms:W3CDTF">2026-07-31T17:57:46Z</dcterms:modified>
</cp:coreProperties>
</file>